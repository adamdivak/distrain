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Assumptions" sheetId="2" state="visible" r:id="rId4"/>
    <sheet name="Track A" sheetId="3" state="visible" r:id="rId5"/>
    <sheet name="Track 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<sst xmlns="http://schemas.openxmlformats.org/spreadsheetml/2006/main" count="141" uniqueCount="131">
  <si>
    <t xml:space="preserve">Budget summary</t>
  </si>
  <si>
    <t xml:space="preserve">Target $150, hard ceiling $400.</t>
  </si>
  <si>
    <t xml:space="preserve">Line item</t>
  </si>
  <si>
    <t xml:space="preserve">Cost</t>
  </si>
  <si>
    <t xml:space="preserve">Notes</t>
  </si>
  <si>
    <t xml:space="preserve">Data preparation (CPU instance)</t>
  </si>
  <si>
    <t xml:space="preserve">Download and tokenise FineWeb once to a persistent volume.</t>
  </si>
  <si>
    <t xml:space="preserve">Debugging (cheap single GPU)</t>
  </si>
  <si>
    <t xml:space="preserve">All correctness work happens here, not on a cluster.</t>
  </si>
  <si>
    <t xml:space="preserve">Track A - converged runs</t>
  </si>
  <si>
    <t xml:space="preserve">Small model to target loss across the config grid.</t>
  </si>
  <si>
    <t xml:space="preserve">Track B - throughput grid</t>
  </si>
  <si>
    <t xml:space="preserve">Large model, parallelism strategies, short runs.</t>
  </si>
  <si>
    <t xml:space="preserve">Subtotal</t>
  </si>
  <si>
    <t xml:space="preserve">Failure / rerun buffer</t>
  </si>
  <si>
    <t xml:space="preserve">Applied to subtotal.</t>
  </si>
  <si>
    <t xml:space="preserve">GRAND TOTAL</t>
  </si>
  <si>
    <t xml:space="preserve">Design target</t>
  </si>
  <si>
    <t xml:space="preserve">Preferred spend.</t>
  </si>
  <si>
    <t xml:space="preserve">Hard ceiling</t>
  </si>
  <si>
    <t xml:space="preserve">Do not exceed.</t>
  </si>
  <si>
    <t xml:space="preserve">Headroom vs target</t>
  </si>
  <si>
    <t xml:space="preserve">Negative means the plan as configured exceeds the design target.</t>
  </si>
  <si>
    <t xml:space="preserve">Headroom vs ceiling</t>
  </si>
  <si>
    <t xml:space="preserve">Levers, roughly in order of effect</t>
  </si>
  <si>
    <t xml:space="preserve">1. Reduce Track A token budget by targeting a slightly easier loss (largest single lever).</t>
  </si>
  <si>
    <t xml:space="preserve">2. Drop the 1-GPU converged baseline and extrapolate it instead.</t>
  </si>
  <si>
    <t xml:space="preserve">3. Batch Track B configs into one provisioned session to amortise launch overhead.</t>
  </si>
  <si>
    <t xml:space="preserve">4. Use spot everywhere, which requires checkpoint-resume to be working first.</t>
  </si>
  <si>
    <t xml:space="preserve">5. Cut Track B entirely - Track A alone is a complete, presentable project.</t>
  </si>
  <si>
    <t xml:space="preserve">GPU budget model — assumptions</t>
  </si>
  <si>
    <t xml:space="preserve">Every other sheet references this one. Edit blue cells; yellow cells are unvalidated guesses to replace with measurements.</t>
  </si>
  <si>
    <t xml:space="preserve">PRICING</t>
  </si>
  <si>
    <t xml:space="preserve">GPUs per node</t>
  </si>
  <si>
    <t xml:space="preserve">DGX-class node: 8 GPUs in one NVSwitch domain.</t>
  </si>
  <si>
    <t xml:space="preserve">On-demand rate ($/GPU-hr)</t>
  </si>
  <si>
    <t xml:space="preserve">H100 SXM with 400G InfiniBand, approx. mid-2026 market rate. Source: GPUPerHour / market surveys, July 2026. Verify against your chosen provider.</t>
  </si>
  <si>
    <t xml:space="preserve">Spot discount factor</t>
  </si>
  <si>
    <t xml:space="preserve">Interruptible pricing as a fraction of on-demand. Assumes you implement checkpoint-resume.</t>
  </si>
  <si>
    <t xml:space="preserve">Spot rate ($/GPU-hr)</t>
  </si>
  <si>
    <t xml:space="preserve">Calculated.</t>
  </si>
  <si>
    <t xml:space="preserve">Cheap CPU instance ($/hr)</t>
  </si>
  <si>
    <t xml:space="preserve">Dataset download and tokenisation. Never do this on a GPU node.</t>
  </si>
  <si>
    <t xml:space="preserve">Single cheap GPU ($/hr)</t>
  </si>
  <si>
    <t xml:space="preserve">Consumer card on a spot marketplace, for correctness debugging.</t>
  </si>
  <si>
    <t xml:space="preserve">HARDWARE</t>
  </si>
  <si>
    <t xml:space="preserve">H100 bf16 dense peak (TFLOP/s)</t>
  </si>
  <si>
    <t xml:space="preserve">Nominal dense bf16 peak per GPU, no sparsity.</t>
  </si>
  <si>
    <t xml:space="preserve">TRACK A - small model, trained to target loss</t>
  </si>
  <si>
    <t xml:space="preserve">Track A parameters</t>
  </si>
  <si>
    <t xml:space="preserve">GPT-2 small. Matches the modded-nanogpt benchmark definition, so results stay comparable.</t>
  </si>
  <si>
    <t xml:space="preserve">Track A token budget</t>
  </si>
  <si>
    <t xml:space="preserve">GUESS. Tokens to reach 3.28 FineWeb val loss with a competent but non-record implementation. Karpathy-era baseline ~10B; current record ~0.7B. Biggest single uncertainty in this model.</t>
  </si>
  <si>
    <t xml:space="preserve">Track A MFU</t>
  </si>
  <si>
    <t xml:space="preserve">GUESS. Small models achieve poor model-FLOPs-utilisation. Measure on your first run and update.</t>
  </si>
  <si>
    <t xml:space="preserve">TRACK B - large model, throughput only</t>
  </si>
  <si>
    <t xml:space="preserve">Track B parameters</t>
  </si>
  <si>
    <t xml:space="preserve">Model states = 112 GB at 16 bytes/param, exceeding one 80GB H100. FSDP2 is therefore required, not decorative.</t>
  </si>
  <si>
    <t xml:space="preserve">Track B tokens per step</t>
  </si>
  <si>
    <t xml:space="preserve">Global batch in tokens.</t>
  </si>
  <si>
    <t xml:space="preserve">Track B MFU</t>
  </si>
  <si>
    <t xml:space="preserve">GUESS. Larger models achieve better MFU than Track A.</t>
  </si>
  <si>
    <t xml:space="preserve">Track B steps per config</t>
  </si>
  <si>
    <t xml:space="preserve">Throughput only, never trained to convergence. ~10 warmup + ~30 measured steps gives a stable step time.</t>
  </si>
  <si>
    <t xml:space="preserve">OVERHEAD</t>
  </si>
  <si>
    <t xml:space="preserve">Launch overhead per run (min)</t>
  </si>
  <si>
    <t xml:space="preserve">Provisioning, image pull, data mount, torch.compile. Billed time during which you are not training.</t>
  </si>
  <si>
    <t xml:space="preserve">Data prep hours (CPU instance)</t>
  </si>
  <si>
    <t xml:space="preserve">Download + tokenise FineWeb sample to a persistent volume. Done once.</t>
  </si>
  <si>
    <t xml:space="preserve">Debug hours (cheap single GPU)</t>
  </si>
  <si>
    <t xml:space="preserve">Correctness work before touching a cluster. The highest-leverage line in this model.</t>
  </si>
  <si>
    <t xml:space="preserve">Applied to the grand total. First-time multi-node work fails often.</t>
  </si>
  <si>
    <t xml:space="preserve">Legend</t>
  </si>
  <si>
    <t xml:space="preserve">Blue text = input you can edit</t>
  </si>
  <si>
    <t xml:space="preserve">Yellow fill = unvalidated guess; measure early and replace</t>
  </si>
  <si>
    <t xml:space="preserve">Black text = calculated; do not edit</t>
  </si>
  <si>
    <t xml:space="preserve">Track A - 124M model trained to target loss (benchmark-comparable)</t>
  </si>
  <si>
    <t xml:space="preserve">Full runs to 3.28 val loss. Scaling efficiency is a placeholder guess - measuring it is the point of the project.</t>
  </si>
  <si>
    <t xml:space="preserve">Configuration</t>
  </si>
  <si>
    <t xml:space="preserve">Nodes</t>
  </si>
  <si>
    <t xml:space="preserve">GPUs</t>
  </si>
  <si>
    <t xml:space="preserve">Interconnect</t>
  </si>
  <si>
    <t xml:space="preserve">Scaling efficiency (guess)</t>
  </si>
  <si>
    <t xml:space="preserve">Runs</t>
  </si>
  <si>
    <t xml:space="preserve">Ideal train min</t>
  </si>
  <si>
    <t xml:space="preserve">Wall min / run</t>
  </si>
  <si>
    <t xml:space="preserve">Billed min / run</t>
  </si>
  <si>
    <t xml:space="preserve">Rate $/GPU-hr</t>
  </si>
  <si>
    <t xml:space="preserve">$ / run</t>
  </si>
  <si>
    <t xml:space="preserve">Subtotal $</t>
  </si>
  <si>
    <t xml:space="preserve">1 GPU baseline</t>
  </si>
  <si>
    <t xml:space="preserve">n/a</t>
  </si>
  <si>
    <t xml:space="preserve">1 node x 2 GPU</t>
  </si>
  <si>
    <t xml:space="preserve">NVLink</t>
  </si>
  <si>
    <t xml:space="preserve">1 node x 4 GPU</t>
  </si>
  <si>
    <t xml:space="preserve">1 node x 8 GPU</t>
  </si>
  <si>
    <t xml:space="preserve">2 nodes x 8 GPU</t>
  </si>
  <si>
    <t xml:space="preserve">InfiniBand</t>
  </si>
  <si>
    <t xml:space="preserve">2 nodes x 8 GPU, naive DDP</t>
  </si>
  <si>
    <t xml:space="preserve">Ethernet</t>
  </si>
  <si>
    <t xml:space="preserve">2 nodes x 8 GPU, comm tuning</t>
  </si>
  <si>
    <t xml:space="preserve">2 nodes x 8 GPU, DiLoCo</t>
  </si>
  <si>
    <t xml:space="preserve">Track A total</t>
  </si>
  <si>
    <t xml:space="preserve">Note: the 1-GPU baseline is the longest single run in this track. Ideal train min = 6 * params * tokens / (MFU * peak FLOP/s * GPUs).</t>
  </si>
  <si>
    <t xml:space="preserve">Note: efficiency figures for the Ethernet rows are hypotheses drawn from the communication-vs-compute arithmetic, not measurements.</t>
  </si>
  <si>
    <t xml:space="preserve">Track B - 7B model, throughput only (never trained to convergence)</t>
  </si>
  <si>
    <t xml:space="preserve">Measures MFU and scaling efficiency across parallelism strategies. Short runs only, so cost stays bounded.</t>
  </si>
  <si>
    <t xml:space="preserve">Parallelism</t>
  </si>
  <si>
    <t xml:space="preserve">Step time (s)</t>
  </si>
  <si>
    <t xml:space="preserve">Run min</t>
  </si>
  <si>
    <t xml:space="preserve">Billed min</t>
  </si>
  <si>
    <t xml:space="preserve">$ / config</t>
  </si>
  <si>
    <t xml:space="preserve">1 node, pure FSDP2</t>
  </si>
  <si>
    <t xml:space="preserve">FSDP2 x8</t>
  </si>
  <si>
    <t xml:space="preserve">1 node, FSDP2 + TP2</t>
  </si>
  <si>
    <t xml:space="preserve">TP2 x FSDP4</t>
  </si>
  <si>
    <t xml:space="preserve">1 node, FSDP2 + TP4</t>
  </si>
  <si>
    <t xml:space="preserve">TP4 x FSDP2</t>
  </si>
  <si>
    <t xml:space="preserve">1 node, pure TP</t>
  </si>
  <si>
    <t xml:space="preserve">TP8</t>
  </si>
  <si>
    <t xml:space="preserve">2 nodes, FSDP2 16-way</t>
  </si>
  <si>
    <t xml:space="preserve">FSDP2 x16</t>
  </si>
  <si>
    <t xml:space="preserve">2 nodes, TP intra x DP inter</t>
  </si>
  <si>
    <t xml:space="preserve">TP8 x DP2</t>
  </si>
  <si>
    <t xml:space="preserve">2 nodes, TP intra x FSDP inter</t>
  </si>
  <si>
    <t xml:space="preserve">TP8 x FSDP2</t>
  </si>
  <si>
    <t xml:space="preserve">2 nodes, TP x DP over Ethernet</t>
  </si>
  <si>
    <t xml:space="preserve">TP8 x DP2 (slow)</t>
  </si>
  <si>
    <t xml:space="preserve">Track B total</t>
  </si>
  <si>
    <t xml:space="preserve">Note: step time = 6 * params * tokens-per-step / (MFU * peak FLOP/s * GPUs), divided by scaling efficiency.</t>
  </si>
  <si>
    <t xml:space="preserve">Note: launch overhead dominates these runs. Batching several configs into one provisioned session is the main saving available here.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</si>
</sst>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\$#,##0"/>
    <numFmt numFmtId="167" formatCode="0"/>
    <numFmt numFmtId="168" formatCode="0%"/>
    <numFmt numFmtId="169" formatCode="#,##0"/>
    <numFmt numFmtId="170" formatCode="0.0"/>
    <numFmt numFmtId="171" formatCode="#,##0.0"/>
    <numFmt numFmtId="172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1506E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E699"/>
        <bgColor rgb="FFFFCC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150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Assumptions!$B$24*Assumptions!$B$9</f>
        <v>3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Assumptions!$B$25*Assumptions!$B$10</f>
        <v>10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f aca="false">'Track A'!$L$13</f>
        <v>81.2692026342189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f aca="false">'Track B'!$J$13</f>
        <v>25.0906469682427</v>
      </c>
      <c r="C8" s="6" t="s">
        <v>12</v>
      </c>
    </row>
    <row r="9" customFormat="false" ht="15" hidden="false" customHeight="false" outlineLevel="0" collapsed="false">
      <c r="A9" s="8" t="s">
        <v>13</v>
      </c>
      <c r="B9" s="9" t="n">
        <f aca="false">SUM(B5:B8)</f>
        <v>119.359849602462</v>
      </c>
      <c r="C9" s="10"/>
    </row>
    <row r="10" customFormat="false" ht="15" hidden="false" customHeight="false" outlineLevel="0" collapsed="false">
      <c r="A10" s="4" t="s">
        <v>14</v>
      </c>
      <c r="B10" s="11" t="n">
        <f aca="false">B9*Assumptions!$B$26</f>
        <v>35.8079548807385</v>
      </c>
      <c r="C10" s="6" t="s">
        <v>15</v>
      </c>
    </row>
    <row r="11" customFormat="false" ht="15" hidden="false" customHeight="false" outlineLevel="0" collapsed="false">
      <c r="A11" s="12" t="s">
        <v>16</v>
      </c>
      <c r="B11" s="13" t="n">
        <f aca="false">B9+B10</f>
        <v>155.1678044832</v>
      </c>
      <c r="C11" s="14"/>
    </row>
    <row r="13" customFormat="false" ht="15" hidden="false" customHeight="false" outlineLevel="0" collapsed="false">
      <c r="A13" s="15" t="s">
        <v>17</v>
      </c>
      <c r="B13" s="16" t="n">
        <v>150</v>
      </c>
      <c r="C13" s="2" t="s">
        <v>18</v>
      </c>
    </row>
    <row r="14" customFormat="false" ht="15" hidden="false" customHeight="false" outlineLevel="0" collapsed="false">
      <c r="A14" s="15" t="s">
        <v>19</v>
      </c>
      <c r="B14" s="16" t="n">
        <v>400</v>
      </c>
      <c r="C14" s="2" t="s">
        <v>20</v>
      </c>
    </row>
    <row r="15" customFormat="false" ht="15" hidden="false" customHeight="false" outlineLevel="0" collapsed="false">
      <c r="A15" s="15" t="s">
        <v>21</v>
      </c>
      <c r="B15" s="17" t="n">
        <f aca="false">B13-B11</f>
        <v>-5.16780448320009</v>
      </c>
      <c r="C15" s="2" t="s">
        <v>22</v>
      </c>
    </row>
    <row r="16" customFormat="false" ht="15" hidden="false" customHeight="false" outlineLevel="0" collapsed="false">
      <c r="A16" s="15" t="s">
        <v>23</v>
      </c>
      <c r="B16" s="17" t="n">
        <f aca="false">B14-B11</f>
        <v>244.8321955168</v>
      </c>
    </row>
    <row r="18" customFormat="false" ht="15" hidden="false" customHeight="false" outlineLevel="0" collapsed="false">
      <c r="A18" s="18" t="s">
        <v>24</v>
      </c>
    </row>
    <row r="19" customFormat="false" ht="15" hidden="false" customHeight="false" outlineLevel="0" collapsed="false">
      <c r="A19" s="15" t="s">
        <v>25</v>
      </c>
    </row>
    <row r="20" customFormat="false" ht="15" hidden="false" customHeight="false" outlineLevel="0" collapsed="false">
      <c r="A20" s="15" t="s">
        <v>26</v>
      </c>
    </row>
    <row r="21" customFormat="false" ht="15" hidden="false" customHeight="false" outlineLevel="0" collapsed="false">
      <c r="A21" s="15" t="s">
        <v>27</v>
      </c>
    </row>
    <row r="22" customFormat="false" ht="15" hidden="false" customHeight="false" outlineLevel="0" collapsed="false">
      <c r="A22" s="15" t="s">
        <v>28</v>
      </c>
    </row>
    <row r="23" customFormat="false" ht="15" hidden="false" customHeight="false" outlineLevel="0" collapsed="false">
      <c r="A23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9" t="s">
        <v>32</v>
      </c>
      <c r="B4" s="20"/>
      <c r="C4" s="20"/>
    </row>
    <row r="5" customFormat="false" ht="15" hidden="false" customHeight="false" outlineLevel="0" collapsed="false">
      <c r="A5" s="15" t="s">
        <v>33</v>
      </c>
      <c r="B5" s="21" t="n">
        <v>8</v>
      </c>
      <c r="C5" s="2" t="s">
        <v>34</v>
      </c>
    </row>
    <row r="6" customFormat="false" ht="15" hidden="false" customHeight="false" outlineLevel="0" collapsed="false">
      <c r="A6" s="15" t="s">
        <v>35</v>
      </c>
      <c r="B6" s="22" t="n">
        <v>3</v>
      </c>
      <c r="C6" s="2" t="s">
        <v>36</v>
      </c>
    </row>
    <row r="7" customFormat="false" ht="15" hidden="false" customHeight="false" outlineLevel="0" collapsed="false">
      <c r="A7" s="15" t="s">
        <v>37</v>
      </c>
      <c r="B7" s="23" t="n">
        <v>0.5</v>
      </c>
      <c r="C7" s="2" t="s">
        <v>38</v>
      </c>
    </row>
    <row r="8" customFormat="false" ht="15" hidden="false" customHeight="false" outlineLevel="0" collapsed="false">
      <c r="A8" s="15" t="s">
        <v>39</v>
      </c>
      <c r="B8" s="5" t="n">
        <f aca="false">B6*B7</f>
        <v>1.5</v>
      </c>
      <c r="C8" s="2" t="s">
        <v>40</v>
      </c>
    </row>
    <row r="9" customFormat="false" ht="15" hidden="false" customHeight="false" outlineLevel="0" collapsed="false">
      <c r="A9" s="15" t="s">
        <v>41</v>
      </c>
      <c r="B9" s="22" t="n">
        <v>0.5</v>
      </c>
      <c r="C9" s="2" t="s">
        <v>42</v>
      </c>
    </row>
    <row r="10" customFormat="false" ht="15" hidden="false" customHeight="false" outlineLevel="0" collapsed="false">
      <c r="A10" s="15" t="s">
        <v>43</v>
      </c>
      <c r="B10" s="22" t="n">
        <v>0.4</v>
      </c>
      <c r="C10" s="2" t="s">
        <v>44</v>
      </c>
    </row>
    <row r="11" customFormat="false" ht="15" hidden="false" customHeight="false" outlineLevel="0" collapsed="false">
      <c r="A11" s="19" t="s">
        <v>45</v>
      </c>
      <c r="B11" s="20"/>
      <c r="C11" s="20"/>
    </row>
    <row r="12" customFormat="false" ht="15" hidden="false" customHeight="false" outlineLevel="0" collapsed="false">
      <c r="A12" s="15" t="s">
        <v>46</v>
      </c>
      <c r="B12" s="24" t="n">
        <v>990</v>
      </c>
      <c r="C12" s="2" t="s">
        <v>47</v>
      </c>
    </row>
    <row r="13" customFormat="false" ht="15" hidden="false" customHeight="false" outlineLevel="0" collapsed="false">
      <c r="A13" s="19" t="s">
        <v>48</v>
      </c>
      <c r="B13" s="20"/>
      <c r="C13" s="20"/>
    </row>
    <row r="14" customFormat="false" ht="15" hidden="false" customHeight="false" outlineLevel="0" collapsed="false">
      <c r="A14" s="15" t="s">
        <v>49</v>
      </c>
      <c r="B14" s="24" t="n">
        <v>124000000</v>
      </c>
      <c r="C14" s="2" t="s">
        <v>50</v>
      </c>
    </row>
    <row r="15" customFormat="false" ht="15" hidden="false" customHeight="false" outlineLevel="0" collapsed="false">
      <c r="A15" s="15" t="s">
        <v>51</v>
      </c>
      <c r="B15" s="25" t="n">
        <v>5000000000</v>
      </c>
      <c r="C15" s="2" t="s">
        <v>52</v>
      </c>
    </row>
    <row r="16" customFormat="false" ht="15" hidden="false" customHeight="false" outlineLevel="0" collapsed="false">
      <c r="A16" s="15" t="s">
        <v>53</v>
      </c>
      <c r="B16" s="26" t="n">
        <v>0.28</v>
      </c>
      <c r="C16" s="2" t="s">
        <v>54</v>
      </c>
    </row>
    <row r="17" customFormat="false" ht="15" hidden="false" customHeight="false" outlineLevel="0" collapsed="false">
      <c r="A17" s="19" t="s">
        <v>55</v>
      </c>
      <c r="B17" s="20"/>
      <c r="C17" s="20"/>
    </row>
    <row r="18" customFormat="false" ht="15" hidden="false" customHeight="false" outlineLevel="0" collapsed="false">
      <c r="A18" s="15" t="s">
        <v>56</v>
      </c>
      <c r="B18" s="24" t="n">
        <v>7000000000</v>
      </c>
      <c r="C18" s="2" t="s">
        <v>57</v>
      </c>
    </row>
    <row r="19" customFormat="false" ht="15" hidden="false" customHeight="false" outlineLevel="0" collapsed="false">
      <c r="A19" s="15" t="s">
        <v>58</v>
      </c>
      <c r="B19" s="24" t="n">
        <v>524288</v>
      </c>
      <c r="C19" s="2" t="s">
        <v>59</v>
      </c>
    </row>
    <row r="20" customFormat="false" ht="15" hidden="false" customHeight="false" outlineLevel="0" collapsed="false">
      <c r="A20" s="15" t="s">
        <v>60</v>
      </c>
      <c r="B20" s="26" t="n">
        <v>0.4</v>
      </c>
      <c r="C20" s="2" t="s">
        <v>61</v>
      </c>
    </row>
    <row r="21" customFormat="false" ht="15" hidden="false" customHeight="false" outlineLevel="0" collapsed="false">
      <c r="A21" s="15" t="s">
        <v>62</v>
      </c>
      <c r="B21" s="21" t="n">
        <v>40</v>
      </c>
      <c r="C21" s="2" t="s">
        <v>63</v>
      </c>
    </row>
    <row r="22" customFormat="false" ht="15" hidden="false" customHeight="false" outlineLevel="0" collapsed="false">
      <c r="A22" s="19" t="s">
        <v>64</v>
      </c>
      <c r="B22" s="20"/>
      <c r="C22" s="20"/>
    </row>
    <row r="23" customFormat="false" ht="15" hidden="false" customHeight="false" outlineLevel="0" collapsed="false">
      <c r="A23" s="15" t="s">
        <v>65</v>
      </c>
      <c r="B23" s="21" t="n">
        <v>6</v>
      </c>
      <c r="C23" s="2" t="s">
        <v>66</v>
      </c>
    </row>
    <row r="24" customFormat="false" ht="15" hidden="false" customHeight="false" outlineLevel="0" collapsed="false">
      <c r="A24" s="15" t="s">
        <v>67</v>
      </c>
      <c r="B24" s="27" t="n">
        <v>6</v>
      </c>
      <c r="C24" s="2" t="s">
        <v>68</v>
      </c>
    </row>
    <row r="25" customFormat="false" ht="15" hidden="false" customHeight="false" outlineLevel="0" collapsed="false">
      <c r="A25" s="15" t="s">
        <v>69</v>
      </c>
      <c r="B25" s="27" t="n">
        <v>25</v>
      </c>
      <c r="C25" s="2" t="s">
        <v>70</v>
      </c>
    </row>
    <row r="26" customFormat="false" ht="15" hidden="false" customHeight="false" outlineLevel="0" collapsed="false">
      <c r="A26" s="15" t="s">
        <v>14</v>
      </c>
      <c r="B26" s="23" t="n">
        <v>0.3</v>
      </c>
      <c r="C26" s="2" t="s">
        <v>71</v>
      </c>
    </row>
    <row r="28" customFormat="false" ht="15" hidden="false" customHeight="false" outlineLevel="0" collapsed="false">
      <c r="A28" s="18" t="s">
        <v>72</v>
      </c>
    </row>
    <row r="29" customFormat="false" ht="15" hidden="false" customHeight="false" outlineLevel="0" collapsed="false">
      <c r="A29" s="28" t="s">
        <v>73</v>
      </c>
    </row>
    <row r="30" customFormat="false" ht="15" hidden="false" customHeight="false" outlineLevel="0" collapsed="false">
      <c r="A30" s="29" t="s">
        <v>74</v>
      </c>
    </row>
    <row r="31" customFormat="false" ht="15" hidden="false" customHeight="false" outlineLevel="0" collapsed="false">
      <c r="A31" s="1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33.75" hidden="false" customHeight="true" outlineLevel="0" collapsed="false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89</v>
      </c>
    </row>
    <row r="5" customFormat="false" ht="15" hidden="false" customHeight="false" outlineLevel="0" collapsed="false">
      <c r="A5" s="4" t="s">
        <v>90</v>
      </c>
      <c r="B5" s="30" t="n">
        <v>1</v>
      </c>
      <c r="C5" s="30" t="n">
        <v>1</v>
      </c>
      <c r="D5" s="4" t="s">
        <v>91</v>
      </c>
      <c r="E5" s="26" t="n">
        <v>1</v>
      </c>
      <c r="F5" s="30" t="n">
        <v>1</v>
      </c>
      <c r="G5" s="31" t="n">
        <f aca="false">(6*Assumptions!$B$14*Assumptions!$B$15)/(Assumptions!$B$16*Assumptions!$B$12*10^12*C5)/60</f>
        <v>223.665223665224</v>
      </c>
      <c r="H5" s="31" t="n">
        <f aca="false">G5/E5</f>
        <v>223.665223665224</v>
      </c>
      <c r="I5" s="31" t="n">
        <f aca="false">H5+Assumptions!$B$23</f>
        <v>229.665223665224</v>
      </c>
      <c r="J5" s="7" t="n">
        <f aca="false">Assumptions!$B$8</f>
        <v>1.5</v>
      </c>
      <c r="K5" s="5" t="n">
        <f aca="false">I5/60*C5*J5</f>
        <v>5.74163059163059</v>
      </c>
      <c r="L5" s="5" t="n">
        <f aca="false">K5*F5</f>
        <v>5.74163059163059</v>
      </c>
    </row>
    <row r="6" customFormat="false" ht="15" hidden="false" customHeight="false" outlineLevel="0" collapsed="false">
      <c r="A6" s="4" t="s">
        <v>92</v>
      </c>
      <c r="B6" s="30" t="n">
        <v>1</v>
      </c>
      <c r="C6" s="30" t="n">
        <v>2</v>
      </c>
      <c r="D6" s="4" t="s">
        <v>93</v>
      </c>
      <c r="E6" s="26" t="n">
        <v>0.95</v>
      </c>
      <c r="F6" s="30" t="n">
        <v>1</v>
      </c>
      <c r="G6" s="31" t="n">
        <f aca="false">(6*Assumptions!$B$14*Assumptions!$B$15)/(Assumptions!$B$16*Assumptions!$B$12*10^12*C6)/60</f>
        <v>111.832611832612</v>
      </c>
      <c r="H6" s="31" t="n">
        <f aca="false">G6/E6</f>
        <v>117.71853877117</v>
      </c>
      <c r="I6" s="31" t="n">
        <f aca="false">H6+Assumptions!$B$23</f>
        <v>123.71853877117</v>
      </c>
      <c r="J6" s="7" t="n">
        <f aca="false">Assumptions!$B$8</f>
        <v>1.5</v>
      </c>
      <c r="K6" s="5" t="n">
        <f aca="false">I6/60*C6*J6</f>
        <v>6.18592693855852</v>
      </c>
      <c r="L6" s="5" t="n">
        <f aca="false">K6*F6</f>
        <v>6.18592693855852</v>
      </c>
    </row>
    <row r="7" customFormat="false" ht="15" hidden="false" customHeight="false" outlineLevel="0" collapsed="false">
      <c r="A7" s="4" t="s">
        <v>94</v>
      </c>
      <c r="B7" s="30" t="n">
        <v>1</v>
      </c>
      <c r="C7" s="30" t="n">
        <v>4</v>
      </c>
      <c r="D7" s="4" t="s">
        <v>93</v>
      </c>
      <c r="E7" s="26" t="n">
        <v>0.92</v>
      </c>
      <c r="F7" s="30" t="n">
        <v>1</v>
      </c>
      <c r="G7" s="31" t="n">
        <f aca="false">(6*Assumptions!$B$14*Assumptions!$B$15)/(Assumptions!$B$16*Assumptions!$B$12*10^12*C7)/60</f>
        <v>55.9163059163059</v>
      </c>
      <c r="H7" s="31" t="n">
        <f aca="false">G7/E7</f>
        <v>60.778593387289</v>
      </c>
      <c r="I7" s="31" t="n">
        <f aca="false">H7+Assumptions!$B$23</f>
        <v>66.778593387289</v>
      </c>
      <c r="J7" s="7" t="n">
        <f aca="false">Assumptions!$B$8</f>
        <v>1.5</v>
      </c>
      <c r="K7" s="5" t="n">
        <f aca="false">I7/60*C7*J7</f>
        <v>6.6778593387289</v>
      </c>
      <c r="L7" s="5" t="n">
        <f aca="false">K7*F7</f>
        <v>6.6778593387289</v>
      </c>
    </row>
    <row r="8" customFormat="false" ht="15" hidden="false" customHeight="false" outlineLevel="0" collapsed="false">
      <c r="A8" s="4" t="s">
        <v>95</v>
      </c>
      <c r="B8" s="30" t="n">
        <v>1</v>
      </c>
      <c r="C8" s="30" t="n">
        <v>8</v>
      </c>
      <c r="D8" s="4" t="s">
        <v>93</v>
      </c>
      <c r="E8" s="26" t="n">
        <v>0.88</v>
      </c>
      <c r="F8" s="30" t="n">
        <v>1</v>
      </c>
      <c r="G8" s="31" t="n">
        <f aca="false">(6*Assumptions!$B$14*Assumptions!$B$15)/(Assumptions!$B$16*Assumptions!$B$12*10^12*C8)/60</f>
        <v>27.958152958153</v>
      </c>
      <c r="H8" s="31" t="n">
        <f aca="false">G8/E8</f>
        <v>31.7706283615374</v>
      </c>
      <c r="I8" s="31" t="n">
        <f aca="false">H8+Assumptions!$B$23</f>
        <v>37.7706283615375</v>
      </c>
      <c r="J8" s="7" t="n">
        <f aca="false">Assumptions!$B$8</f>
        <v>1.5</v>
      </c>
      <c r="K8" s="5" t="n">
        <f aca="false">I8/60*C8*J8</f>
        <v>7.55412567230749</v>
      </c>
      <c r="L8" s="5" t="n">
        <f aca="false">K8*F8</f>
        <v>7.55412567230749</v>
      </c>
    </row>
    <row r="9" customFormat="false" ht="15" hidden="false" customHeight="false" outlineLevel="0" collapsed="false">
      <c r="A9" s="4" t="s">
        <v>96</v>
      </c>
      <c r="B9" s="30" t="n">
        <v>2</v>
      </c>
      <c r="C9" s="30" t="n">
        <v>16</v>
      </c>
      <c r="D9" s="4" t="s">
        <v>97</v>
      </c>
      <c r="E9" s="26" t="n">
        <v>0.75</v>
      </c>
      <c r="F9" s="30" t="n">
        <v>1</v>
      </c>
      <c r="G9" s="31" t="n">
        <f aca="false">(6*Assumptions!$B$14*Assumptions!$B$15)/(Assumptions!$B$16*Assumptions!$B$12*10^12*C9)/60</f>
        <v>13.9790764790765</v>
      </c>
      <c r="H9" s="31" t="n">
        <f aca="false">G9/E9</f>
        <v>18.6387686387686</v>
      </c>
      <c r="I9" s="31" t="n">
        <f aca="false">H9+Assumptions!$B$23</f>
        <v>24.6387686387686</v>
      </c>
      <c r="J9" s="7" t="n">
        <f aca="false">Assumptions!$B$8</f>
        <v>1.5</v>
      </c>
      <c r="K9" s="5" t="n">
        <f aca="false">I9/60*C9*J9</f>
        <v>9.85550745550745</v>
      </c>
      <c r="L9" s="5" t="n">
        <f aca="false">K9*F9</f>
        <v>9.85550745550745</v>
      </c>
    </row>
    <row r="10" customFormat="false" ht="15" hidden="false" customHeight="false" outlineLevel="0" collapsed="false">
      <c r="A10" s="4" t="s">
        <v>98</v>
      </c>
      <c r="B10" s="30" t="n">
        <v>2</v>
      </c>
      <c r="C10" s="30" t="n">
        <v>16</v>
      </c>
      <c r="D10" s="4" t="s">
        <v>99</v>
      </c>
      <c r="E10" s="26" t="n">
        <v>0.3</v>
      </c>
      <c r="F10" s="30" t="n">
        <v>1</v>
      </c>
      <c r="G10" s="31" t="n">
        <f aca="false">(6*Assumptions!$B$14*Assumptions!$B$15)/(Assumptions!$B$16*Assumptions!$B$12*10^12*C10)/60</f>
        <v>13.9790764790765</v>
      </c>
      <c r="H10" s="31" t="n">
        <f aca="false">G10/E10</f>
        <v>46.5969215969216</v>
      </c>
      <c r="I10" s="31" t="n">
        <f aca="false">H10+Assumptions!$B$23</f>
        <v>52.5969215969216</v>
      </c>
      <c r="J10" s="7" t="n">
        <f aca="false">Assumptions!$B$8</f>
        <v>1.5</v>
      </c>
      <c r="K10" s="5" t="n">
        <f aca="false">I10/60*C10*J10</f>
        <v>21.0387686387686</v>
      </c>
      <c r="L10" s="5" t="n">
        <f aca="false">K10*F10</f>
        <v>21.0387686387686</v>
      </c>
    </row>
    <row r="11" customFormat="false" ht="15" hidden="false" customHeight="false" outlineLevel="0" collapsed="false">
      <c r="A11" s="4" t="s">
        <v>100</v>
      </c>
      <c r="B11" s="30" t="n">
        <v>2</v>
      </c>
      <c r="C11" s="30" t="n">
        <v>16</v>
      </c>
      <c r="D11" s="4" t="s">
        <v>99</v>
      </c>
      <c r="E11" s="26" t="n">
        <v>0.45</v>
      </c>
      <c r="F11" s="30" t="n">
        <v>1</v>
      </c>
      <c r="G11" s="31" t="n">
        <f aca="false">(6*Assumptions!$B$14*Assumptions!$B$15)/(Assumptions!$B$16*Assumptions!$B$12*10^12*C11)/60</f>
        <v>13.9790764790765</v>
      </c>
      <c r="H11" s="31" t="n">
        <f aca="false">G11/E11</f>
        <v>31.0646143979477</v>
      </c>
      <c r="I11" s="31" t="n">
        <f aca="false">H11+Assumptions!$B$23</f>
        <v>37.0646143979477</v>
      </c>
      <c r="J11" s="7" t="n">
        <f aca="false">Assumptions!$B$8</f>
        <v>1.5</v>
      </c>
      <c r="K11" s="5" t="n">
        <f aca="false">I11/60*C11*J11</f>
        <v>14.8258457591791</v>
      </c>
      <c r="L11" s="5" t="n">
        <f aca="false">K11*F11</f>
        <v>14.8258457591791</v>
      </c>
    </row>
    <row r="12" customFormat="false" ht="15" hidden="false" customHeight="false" outlineLevel="0" collapsed="false">
      <c r="A12" s="4" t="s">
        <v>101</v>
      </c>
      <c r="B12" s="30" t="n">
        <v>2</v>
      </c>
      <c r="C12" s="30" t="n">
        <v>16</v>
      </c>
      <c r="D12" s="4" t="s">
        <v>99</v>
      </c>
      <c r="E12" s="26" t="n">
        <v>0.8</v>
      </c>
      <c r="F12" s="30" t="n">
        <v>1</v>
      </c>
      <c r="G12" s="31" t="n">
        <f aca="false">(6*Assumptions!$B$14*Assumptions!$B$15)/(Assumptions!$B$16*Assumptions!$B$12*10^12*C12)/60</f>
        <v>13.9790764790765</v>
      </c>
      <c r="H12" s="31" t="n">
        <f aca="false">G12/E12</f>
        <v>17.4738455988456</v>
      </c>
      <c r="I12" s="31" t="n">
        <f aca="false">H12+Assumptions!$B$23</f>
        <v>23.4738455988456</v>
      </c>
      <c r="J12" s="7" t="n">
        <f aca="false">Assumptions!$B$8</f>
        <v>1.5</v>
      </c>
      <c r="K12" s="5" t="n">
        <f aca="false">I12/60*C12*J12</f>
        <v>9.38953823953824</v>
      </c>
      <c r="L12" s="5" t="n">
        <f aca="false">K12*F12</f>
        <v>9.38953823953824</v>
      </c>
    </row>
    <row r="13" customFormat="false" ht="15" hidden="false" customHeight="false" outlineLevel="0" collapsed="false">
      <c r="A13" s="8" t="s">
        <v>102</v>
      </c>
      <c r="B13" s="10"/>
      <c r="C13" s="10"/>
      <c r="D13" s="10"/>
      <c r="E13" s="10"/>
      <c r="F13" s="8" t="n">
        <f aca="false">SUM(F5:F12)</f>
        <v>8</v>
      </c>
      <c r="G13" s="10"/>
      <c r="H13" s="10"/>
      <c r="I13" s="10"/>
      <c r="J13" s="10"/>
      <c r="K13" s="10"/>
      <c r="L13" s="9" t="n">
        <f aca="false">SUM(L5:L12)</f>
        <v>81.2692026342189</v>
      </c>
    </row>
    <row r="15" customFormat="false" ht="15" hidden="false" customHeight="false" outlineLevel="0" collapsed="false">
      <c r="A15" s="2" t="s">
        <v>103</v>
      </c>
    </row>
    <row r="16" customFormat="false" ht="15" hidden="false" customHeight="false" outlineLevel="0" collapsed="false">
      <c r="A16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3.75" hidden="false" customHeight="true" outlineLevel="0" collapsed="false">
      <c r="A4" s="3" t="s">
        <v>78</v>
      </c>
      <c r="B4" s="3" t="s">
        <v>107</v>
      </c>
      <c r="C4" s="3" t="s">
        <v>79</v>
      </c>
      <c r="D4" s="3" t="s">
        <v>80</v>
      </c>
      <c r="E4" s="3" t="s">
        <v>82</v>
      </c>
      <c r="F4" s="3" t="s">
        <v>108</v>
      </c>
      <c r="G4" s="3" t="s">
        <v>109</v>
      </c>
      <c r="H4" s="3" t="s">
        <v>110</v>
      </c>
      <c r="I4" s="3" t="s">
        <v>87</v>
      </c>
      <c r="J4" s="3" t="s">
        <v>111</v>
      </c>
    </row>
    <row r="5" customFormat="false" ht="15" hidden="false" customHeight="false" outlineLevel="0" collapsed="false">
      <c r="A5" s="4" t="s">
        <v>112</v>
      </c>
      <c r="B5" s="4" t="s">
        <v>113</v>
      </c>
      <c r="C5" s="30" t="n">
        <v>1</v>
      </c>
      <c r="D5" s="30" t="n">
        <v>8</v>
      </c>
      <c r="E5" s="26" t="n">
        <v>0.9</v>
      </c>
      <c r="F5" s="32" t="n">
        <f aca="false">(6*Assumptions!$B$18*Assumptions!$B$19)/(Assumptions!$B$20*Assumptions!$B$12*10^12*D5)/E5</f>
        <v>7.72309764309764</v>
      </c>
      <c r="G5" s="31" t="n">
        <f aca="false">F5*Assumptions!$B$21/60</f>
        <v>5.1487317620651</v>
      </c>
      <c r="H5" s="31" t="n">
        <f aca="false">G5+Assumptions!$B$23</f>
        <v>11.1487317620651</v>
      </c>
      <c r="I5" s="7" t="n">
        <f aca="false">Assumptions!$B$8</f>
        <v>1.5</v>
      </c>
      <c r="J5" s="5" t="n">
        <f aca="false">H5/60*D5*I5</f>
        <v>2.22974635241302</v>
      </c>
    </row>
    <row r="6" customFormat="false" ht="15" hidden="false" customHeight="false" outlineLevel="0" collapsed="false">
      <c r="A6" s="4" t="s">
        <v>114</v>
      </c>
      <c r="B6" s="4" t="s">
        <v>115</v>
      </c>
      <c r="C6" s="30" t="n">
        <v>1</v>
      </c>
      <c r="D6" s="30" t="n">
        <v>8</v>
      </c>
      <c r="E6" s="26" t="n">
        <v>0.88</v>
      </c>
      <c r="F6" s="32" t="n">
        <f aca="false">(6*Assumptions!$B$18*Assumptions!$B$19)/(Assumptions!$B$20*Assumptions!$B$12*10^12*D6)/E6</f>
        <v>7.89862258953168</v>
      </c>
      <c r="G6" s="31" t="n">
        <f aca="false">F6*Assumptions!$B$21/60</f>
        <v>5.26574839302112</v>
      </c>
      <c r="H6" s="31" t="n">
        <f aca="false">G6+Assumptions!$B$23</f>
        <v>11.2657483930211</v>
      </c>
      <c r="I6" s="7" t="n">
        <f aca="false">Assumptions!$B$8</f>
        <v>1.5</v>
      </c>
      <c r="J6" s="5" t="n">
        <f aca="false">H6/60*D6*I6</f>
        <v>2.25314967860422</v>
      </c>
    </row>
    <row r="7" customFormat="false" ht="15" hidden="false" customHeight="false" outlineLevel="0" collapsed="false">
      <c r="A7" s="4" t="s">
        <v>116</v>
      </c>
      <c r="B7" s="4" t="s">
        <v>117</v>
      </c>
      <c r="C7" s="30" t="n">
        <v>1</v>
      </c>
      <c r="D7" s="30" t="n">
        <v>8</v>
      </c>
      <c r="E7" s="26" t="n">
        <v>0.85</v>
      </c>
      <c r="F7" s="32" t="n">
        <f aca="false">(6*Assumptions!$B$18*Assumptions!$B$19)/(Assumptions!$B$20*Assumptions!$B$12*10^12*D7)/E7</f>
        <v>8.17739750445633</v>
      </c>
      <c r="G7" s="31" t="n">
        <f aca="false">F7*Assumptions!$B$21/60</f>
        <v>5.45159833630422</v>
      </c>
      <c r="H7" s="31" t="n">
        <f aca="false">G7+Assumptions!$B$23</f>
        <v>11.4515983363042</v>
      </c>
      <c r="I7" s="7" t="n">
        <f aca="false">Assumptions!$B$8</f>
        <v>1.5</v>
      </c>
      <c r="J7" s="5" t="n">
        <f aca="false">H7/60*D7*I7</f>
        <v>2.29031966726084</v>
      </c>
    </row>
    <row r="8" customFormat="false" ht="15" hidden="false" customHeight="false" outlineLevel="0" collapsed="false">
      <c r="A8" s="4" t="s">
        <v>118</v>
      </c>
      <c r="B8" s="4" t="s">
        <v>119</v>
      </c>
      <c r="C8" s="30" t="n">
        <v>1</v>
      </c>
      <c r="D8" s="30" t="n">
        <v>8</v>
      </c>
      <c r="E8" s="26" t="n">
        <v>0.78</v>
      </c>
      <c r="F8" s="32" t="n">
        <f aca="false">(6*Assumptions!$B$18*Assumptions!$B$19)/(Assumptions!$B$20*Assumptions!$B$12*10^12*D8)/E8</f>
        <v>8.91126651126651</v>
      </c>
      <c r="G8" s="31" t="n">
        <f aca="false">F8*Assumptions!$B$21/60</f>
        <v>5.94084434084434</v>
      </c>
      <c r="H8" s="31" t="n">
        <f aca="false">G8+Assumptions!$B$23</f>
        <v>11.9408443408443</v>
      </c>
      <c r="I8" s="7" t="n">
        <f aca="false">Assumptions!$B$8</f>
        <v>1.5</v>
      </c>
      <c r="J8" s="5" t="n">
        <f aca="false">H8/60*D8*I8</f>
        <v>2.38816886816887</v>
      </c>
    </row>
    <row r="9" customFormat="false" ht="15" hidden="false" customHeight="false" outlineLevel="0" collapsed="false">
      <c r="A9" s="4" t="s">
        <v>120</v>
      </c>
      <c r="B9" s="4" t="s">
        <v>121</v>
      </c>
      <c r="C9" s="30" t="n">
        <v>2</v>
      </c>
      <c r="D9" s="30" t="n">
        <v>16</v>
      </c>
      <c r="E9" s="26" t="n">
        <v>0.72</v>
      </c>
      <c r="F9" s="32" t="n">
        <f aca="false">(6*Assumptions!$B$18*Assumptions!$B$19)/(Assumptions!$B$20*Assumptions!$B$12*10^12*D9)/E9</f>
        <v>4.82693602693603</v>
      </c>
      <c r="G9" s="31" t="n">
        <f aca="false">F9*Assumptions!$B$21/60</f>
        <v>3.21795735129069</v>
      </c>
      <c r="H9" s="31" t="n">
        <f aca="false">G9+Assumptions!$B$23</f>
        <v>9.21795735129069</v>
      </c>
      <c r="I9" s="7" t="n">
        <f aca="false">Assumptions!$B$8</f>
        <v>1.5</v>
      </c>
      <c r="J9" s="5" t="n">
        <f aca="false">H9/60*D9*I9</f>
        <v>3.68718294051627</v>
      </c>
    </row>
    <row r="10" customFormat="false" ht="15" hidden="false" customHeight="false" outlineLevel="0" collapsed="false">
      <c r="A10" s="4" t="s">
        <v>122</v>
      </c>
      <c r="B10" s="4" t="s">
        <v>123</v>
      </c>
      <c r="C10" s="30" t="n">
        <v>2</v>
      </c>
      <c r="D10" s="30" t="n">
        <v>16</v>
      </c>
      <c r="E10" s="26" t="n">
        <v>0.8</v>
      </c>
      <c r="F10" s="32" t="n">
        <f aca="false">(6*Assumptions!$B$18*Assumptions!$B$19)/(Assumptions!$B$20*Assumptions!$B$12*10^12*D10)/E10</f>
        <v>4.34424242424242</v>
      </c>
      <c r="G10" s="31" t="n">
        <f aca="false">F10*Assumptions!$B$21/60</f>
        <v>2.89616161616162</v>
      </c>
      <c r="H10" s="31" t="n">
        <f aca="false">G10+Assumptions!$B$23</f>
        <v>8.89616161616162</v>
      </c>
      <c r="I10" s="7" t="n">
        <f aca="false">Assumptions!$B$8</f>
        <v>1.5</v>
      </c>
      <c r="J10" s="5" t="n">
        <f aca="false">H10/60*D10*I10</f>
        <v>3.55846464646465</v>
      </c>
    </row>
    <row r="11" customFormat="false" ht="15" hidden="false" customHeight="false" outlineLevel="0" collapsed="false">
      <c r="A11" s="4" t="s">
        <v>124</v>
      </c>
      <c r="B11" s="4" t="s">
        <v>125</v>
      </c>
      <c r="C11" s="30" t="n">
        <v>2</v>
      </c>
      <c r="D11" s="30" t="n">
        <v>16</v>
      </c>
      <c r="E11" s="26" t="n">
        <v>0.75</v>
      </c>
      <c r="F11" s="32" t="n">
        <f aca="false">(6*Assumptions!$B$18*Assumptions!$B$19)/(Assumptions!$B$20*Assumptions!$B$12*10^12*D11)/E11</f>
        <v>4.63385858585859</v>
      </c>
      <c r="G11" s="31" t="n">
        <f aca="false">F11*Assumptions!$B$21/60</f>
        <v>3.08923905723906</v>
      </c>
      <c r="H11" s="31" t="n">
        <f aca="false">G11+Assumptions!$B$23</f>
        <v>9.08923905723906</v>
      </c>
      <c r="I11" s="7" t="n">
        <f aca="false">Assumptions!$B$8</f>
        <v>1.5</v>
      </c>
      <c r="J11" s="5" t="n">
        <f aca="false">H11/60*D11*I11</f>
        <v>3.63569562289562</v>
      </c>
    </row>
    <row r="12" customFormat="false" ht="15" hidden="false" customHeight="false" outlineLevel="0" collapsed="false">
      <c r="A12" s="4" t="s">
        <v>126</v>
      </c>
      <c r="B12" s="4" t="s">
        <v>127</v>
      </c>
      <c r="C12" s="30" t="n">
        <v>2</v>
      </c>
      <c r="D12" s="30" t="n">
        <v>16</v>
      </c>
      <c r="E12" s="26" t="n">
        <v>0.35</v>
      </c>
      <c r="F12" s="32" t="n">
        <f aca="false">(6*Assumptions!$B$18*Assumptions!$B$19)/(Assumptions!$B$20*Assumptions!$B$12*10^12*D12)/E12</f>
        <v>9.92969696969697</v>
      </c>
      <c r="G12" s="31" t="n">
        <f aca="false">F12*Assumptions!$B$21/60</f>
        <v>6.61979797979798</v>
      </c>
      <c r="H12" s="31" t="n">
        <f aca="false">G12+Assumptions!$B$23</f>
        <v>12.619797979798</v>
      </c>
      <c r="I12" s="7" t="n">
        <f aca="false">Assumptions!$B$8</f>
        <v>1.5</v>
      </c>
      <c r="J12" s="5" t="n">
        <f aca="false">H12/60*D12*I12</f>
        <v>5.04791919191919</v>
      </c>
    </row>
    <row r="13" customFormat="false" ht="15" hidden="false" customHeight="false" outlineLevel="0" collapsed="false">
      <c r="A13" s="8" t="s">
        <v>128</v>
      </c>
      <c r="B13" s="10"/>
      <c r="C13" s="10"/>
      <c r="D13" s="10"/>
      <c r="E13" s="10"/>
      <c r="F13" s="10"/>
      <c r="G13" s="10"/>
      <c r="H13" s="10"/>
      <c r="I13" s="10"/>
      <c r="J13" s="9" t="n">
        <f aca="false">SUM(J5:J12)</f>
        <v>25.0906469682427</v>
      </c>
    </row>
    <row r="15" customFormat="false" ht="15" hidden="false" customHeight="false" outlineLevel="0" collapsed="false">
      <c r="A15" s="2" t="s">
        <v>129</v>
      </c>
    </row>
    <row r="16" customFormat="false" ht="15" hidden="false" customHeight="false" outlineLevel="0" collapsed="false">
      <c r="A16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2026-07-22T17:00:58Z</dcterms:created>
  <dc:creator>openpyxl</dc:creator>
  <dc:description/>
  <dc:language>en-US</dc:language>
  <cp:lastModifiedBy/>
  <dcterms:modified xsi:type="dcterms:W3CDTF">2026-07-22T17:00:58Z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